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<sst xmlns="http://schemas.openxmlformats.org/spreadsheetml/2006/main" count="56" uniqueCount="50">
  <si>
    <t>Testcase ID</t>
  </si>
  <si>
    <t>Yêu cầu</t>
  </si>
  <si>
    <t>Mục tiêu kiểm tra</t>
  </si>
  <si>
    <t>Quy trình kiểm tra</t>
  </si>
  <si>
    <t>Kỳ vọng kết quả sau khi kiểm tra</t>
  </si>
  <si>
    <t>Kết quả kiểm tra</t>
  </si>
  <si>
    <t xml:space="preserve">Code </t>
  </si>
  <si>
    <t>TC01</t>
  </si>
  <si>
    <t>Cảm biến MQ6 phải đọc được giá trị analog khí gas và xác định trạng thái an toàn/nguy hiểm.</t>
  </si>
  <si>
    <t>MQ6 AO tại GPIO35. Hàm test: readMQ6(). Biến kiểm tra: mq6Raw, gasDanger.</t>
  </si>
  <si>
    <t>1. Mở Serial Monitor baud 115200.
2. Trong loop() gọi readMQ6().
3. In mq6Raw và gasDanger.
4. Test môi trường bình thường, sau đó đưa nguồn khí test nhẹ gần MQ6.</t>
  </si>
  <si>
    <t>Không có gas: mq6Raw &lt; GAS_THRESHOLD, gasDanger = false, trạng thái SAFE.
Có gas vượt ngưỡng: mq6Raw &gt;= GAS_THRESHOLD, gasDanger = true, trạng thái DANGER.</t>
  </si>
  <si>
    <t>Pass</t>
  </si>
  <si>
    <t>TC01_Test_MQ6</t>
  </si>
  <si>
    <t>TC02</t>
  </si>
  <si>
    <t>Cảm biến mưa phải đọc được tín hiệu analog/digital và xác định trạng thái khô/ướt.</t>
  </si>
  <si>
    <t>Rain Sensor AO GPIO34, DO GPIO27. Hàm test: readRainSensor(). Biến kiểm tra: rainAO, rainDetected.</t>
  </si>
  <si>
    <t>1. Mở Serial Monitor.
2. Trong loop() gọi readRainSensor().
3. In rainAO và rainDetected.
4. Để cảm biến khô, sau đó nhỏ vài giọt nước lên bề mặt cảm biến.</t>
  </si>
  <si>
    <t>Khi khô: rainDetected = false, trạng thái DRY.
Khi có nước: rainDetected = true, trạng thái WET.
Giá trị rainAO thay đổi giữa trạng thái khô và ướt.</t>
  </si>
  <si>
    <t>TC02_Test_RainSensor</t>
  </si>
  <si>
    <t>TC03</t>
  </si>
  <si>
    <t>Cảm biến SHT31 phải đọc được nhiệt độ và độ ẩm môi trường.</t>
  </si>
  <si>
    <t>SHT31 I2C SDA GPIO21, SCL GPIO22. Hàm test: readSHT31(). Biến kiểm tra: localTemp, localHum, shtOK.</t>
  </si>
  <si>
    <t>1. Mở Serial Monitor.
2. Kiểm tra log [SHT31] OK @0x44 hoặc [SHT31] OK @0x45.
3. Trong loop() gọi readSHT31().
4. In localTemp và localHum.
5. Đặt tay gần cảm biến hoặc thổi hơi nhẹ để quan sát thay đổi.</t>
  </si>
  <si>
    <t>shtOK = true.
localTemp và localHum có giá trị số, không phải NaN.
Khi môi trường thay đổi, nhiệt độ hoặc độ ẩm thay đổi theo.</t>
  </si>
  <si>
    <t>TC03_Test_SHT31</t>
  </si>
  <si>
    <t>TC04</t>
  </si>
  <si>
    <t>OLED SSD1306 phải hiển thị được dữ liệu cảm biến local.</t>
  </si>
  <si>
    <t>OLED SSD1306 địa chỉ 0x3C. Hàm test: showOLED(). Biến kiểm tra: oledOK và nội dung hiển thị.</t>
  </si>
  <si>
    <t>1. Gán dữ liệu mẫu: localTemp = 30.5, localHum = 70.0, rainAO = 1234, rainDetected = true, mq6Raw = 850, gasDanger = false.
2. Gọi showOLED().
3. Quan sát nội dung trên OLED.</t>
  </si>
  <si>
    <t>OLED hiển thị LOCAL SENSORS.
Hiển thị đúng Temp = 30.5 C, Hum = 70.0 %, RainAO = 1234, RainDO = WET, MQ6 = 850, Gas = SAFE.</t>
  </si>
  <si>
    <t>TC04_Test_OLED</t>
  </si>
  <si>
    <t>TC05</t>
  </si>
  <si>
    <t>LCD 16x2 I2C phải hiển thị được dữ liệu thời tiết/API.</t>
  </si>
  <si>
    <t>LCD I2C địa chỉ 0x27. Hàm test: showLCD(). Biến kiểm tra: weatherTemp, weatherHum, rainProb, wifiOK, weatherOK.</t>
  </si>
  <si>
    <t>1. Gán dữ liệu mẫu: weatherTemp = 31.2, weatherHum = 65, rainProb = 40, wifiOK = true, weatherOK = true.
2. Gọi showLCD().
3. Quan sát LCD.</t>
  </si>
  <si>
    <t>Dòng 1 hiển thị: T:31.2C H:65%.
Dòng 2 hiển thị: Rain:40% API OK.</t>
  </si>
  <si>
    <t>TC05_Test_LCD</t>
  </si>
  <si>
    <t>TC10</t>
  </si>
  <si>
    <t>Adafruit IO phải nhận được dữ liệu mẫu từ ESP32 qua MQTT.</t>
  </si>
  <si>
    <t>Adafruit IO MQTT publish. Hàm test: buildAioTopics(), mqttConnect(), publishToAdafruitIO().</t>
  </si>
  <si>
    <t>1. Mở Serial Monitor và dashboard Adafruit IO.
2. Gán dữ liệu mẫu: localTemp = 30.5, localHum = 70.0, rainDetected = false, gasDanger = false, rainProb = 25, weatherTemp = 31.0, weatherHum = 65.0.
3. Gọi buildAioTopics() nếu chưa gọi trong setup().
4. Gọi publishToAdafruitIO().
5. Quan sát Serial và dashboard.</t>
  </si>
  <si>
    <t>Serial hiển thị [MQTT] Connecting OK nếu chưa kết nối.
Serial hiển thị [MQTT] Published 7 feeds to Adafruit IO.
Dashboard cập nhật gas-state = SAFE, rain-state = DRY, local-temp = 30.5, local-hum = 70.0, rain-prob = 25, weather-temp = 31.0, weather-hum = 65.</t>
  </si>
  <si>
    <t>TC_Adafruit_MQTT</t>
  </si>
  <si>
    <t>TỔNG HỢP TRẠNG THÁI TESTCASE</t>
  </si>
  <si>
    <t>Tổng số testcase</t>
  </si>
  <si>
    <t>10</t>
  </si>
  <si>
    <t>Not run</t>
  </si>
  <si>
    <t>Fail</t>
  </si>
  <si>
    <t>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</si>
</sst>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1.0"/>
      <color rgb="FFFFFFFF"/>
      <name val="Carlito"/>
    </font>
    <font>
      <sz val="10.0"/>
      <color theme="1"/>
      <name val="Carlito"/>
    </font>
    <font>
      <u/>
      <sz val="10.0"/>
      <color rgb="FF0000FF"/>
      <name val="Carlito"/>
    </font>
    <font>
      <b/>
      <sz val="13.0"/>
      <color rgb="FFFFFFFF"/>
      <name val="Carlito"/>
    </font>
    <font/>
    <font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15E59"/>
        <bgColor rgb="FF115E59"/>
      </patternFill>
    </fill>
    <fill>
      <patternFill patternType="solid">
        <fgColor rgb="FF0F766E"/>
        <bgColor rgb="FF0F766E"/>
      </patternFill>
    </fill>
    <fill>
      <patternFill patternType="solid">
        <fgColor rgb="FFF1F5F9"/>
        <bgColor rgb="FFF1F5F9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1" fillId="4" fontId="1" numFmtId="0" xfId="0" applyAlignment="1" applyBorder="1" applyFill="1" applyFont="1">
      <alignment vertical="center"/>
    </xf>
    <xf borderId="0" fillId="0" fontId="6" numFmtId="0" xfId="0" applyAlignment="1" applyFont="1">
      <alignment horizontal="center" vertical="center"/>
    </xf>
    <xf borderId="1" fillId="4" fontId="7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Testcases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8" displayName="Table_1" name="Table_1" id="1">
  <tableColumns count="7">
    <tableColumn name="Testcase ID" id="1"/>
    <tableColumn name="Yêu cầu" id="2"/>
    <tableColumn name="Mục tiêu kiểm tra" id="3"/>
    <tableColumn name="Quy trình kiểm tra" id="4"/>
    <tableColumn name="Kỳ vọng kết quả sau khi kiểm tra" id="5"/>
    <tableColumn name="Kết quả kiểm tra" id="6"/>
    <tableColumn name="Code " id="7"/>
  </tableColumns>
  <tableStyleInfo name="Testcases-style" showColumnStripes="0" showFirstColumn="1" showLastColumn="1" showRowStripes="1"/>
</table>
</file>

<file path=xl/tables/table2.xml><?xml version="1.0" encoding="utf-8"?>
<table xmlns="http://schemas.openxmlformats.org/spreadsheetml/2006/main" ref="A3:B7" displayName="Table_2" name="Table_2" id="2">
  <tableColumns count="2">
    <tableColumn name="Tổng số testcase" id="1"/>
    <tableColumn name="10" id="2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nxpkmzQUyyjuCtlKGWQi9qaZqQIgMr5?usp=sharing" TargetMode="External"/><Relationship Id="rId2" Type="http://schemas.openxmlformats.org/officeDocument/2006/relationships/hyperlink" Target="https://drive.google.com/drive/folders/1jLEt7RmLMCCsiMxZHDZ6SRIN7IiaU8-y?usp=sharing" TargetMode="External"/><Relationship Id="rId3" Type="http://schemas.openxmlformats.org/officeDocument/2006/relationships/hyperlink" Target="https://drive.google.com/drive/folders/1G9lDMRsn0GAHEIe-M-ULM3j-BtlDoYz9?usp=drive_link" TargetMode="External"/><Relationship Id="rId4" Type="http://schemas.openxmlformats.org/officeDocument/2006/relationships/hyperlink" Target="https://drive.google.com/drive/folders/1G9lDMRsn0GAHEIe-M-ULM3j-BtlDoYz9?usp=drive_link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drive/folders/1SIACWizp3ekCJiTrBRR1r2zTse7F72u6?usp=drive_link" TargetMode="External"/><Relationship Id="rId6" Type="http://schemas.openxmlformats.org/officeDocument/2006/relationships/hyperlink" Target="https://drive.google.com/drive/folders/1cTDmGAFuKPpdWJOGBbOsFPlxkb3Kej3e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6.0"/>
    <col customWidth="1" min="3" max="3" width="34.0"/>
    <col customWidth="1" min="4" max="4" width="46.0"/>
    <col customWidth="1" min="5" max="5" width="44.0"/>
    <col customWidth="1" min="6" max="6" width="18.0"/>
    <col customWidth="1" min="7" max="7" width="34.0"/>
    <col customWidth="1" min="8" max="23" width="8.63"/>
  </cols>
  <sheetData>
    <row r="1" ht="14.25" customHeight="1"/>
    <row r="2" ht="31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96.0" customHeight="1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5" t="s">
        <v>12</v>
      </c>
      <c r="G3" s="6" t="s">
        <v>13</v>
      </c>
    </row>
    <row r="4" ht="96.0" customHeight="1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 t="s">
        <v>12</v>
      </c>
      <c r="G4" s="6" t="s">
        <v>19</v>
      </c>
    </row>
    <row r="5" ht="96.0" customHeight="1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5" t="s">
        <v>12</v>
      </c>
      <c r="G5" s="6" t="s">
        <v>25</v>
      </c>
    </row>
    <row r="6" ht="96.0" customHeight="1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5" t="s">
        <v>12</v>
      </c>
      <c r="G6" s="6" t="s">
        <v>31</v>
      </c>
    </row>
    <row r="7" ht="96.0" customHeight="1">
      <c r="A7" s="3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5" t="s">
        <v>12</v>
      </c>
      <c r="G7" s="6" t="s">
        <v>37</v>
      </c>
    </row>
    <row r="8" ht="96.0" customHeight="1">
      <c r="A8" s="3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5" t="s">
        <v>12</v>
      </c>
      <c r="G8" s="6" t="s">
        <v>43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dataValidations>
    <dataValidation type="list" allowBlank="1" sqref="F3:F8">
      <formula1>"Chưa test,Pass,Fail,Blocked"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26" width="8.63"/>
  </cols>
  <sheetData>
    <row r="1" ht="14.25" customHeight="1">
      <c r="A1" s="7" t="s">
        <v>44</v>
      </c>
      <c r="B1" s="8"/>
    </row>
    <row r="2" ht="14.25" customHeight="1"/>
    <row r="3" ht="14.25" customHeight="1">
      <c r="A3" s="9" t="s">
        <v>45</v>
      </c>
      <c r="B3" s="10" t="s">
        <v>46</v>
      </c>
    </row>
    <row r="4" ht="14.25" customHeight="1">
      <c r="A4" s="11" t="s">
        <v>47</v>
      </c>
      <c r="B4" s="12">
        <f>COUNTIF(#REF!,"Not run")</f>
        <v>0</v>
      </c>
    </row>
    <row r="5" ht="14.25" customHeight="1">
      <c r="A5" s="11" t="s">
        <v>12</v>
      </c>
      <c r="B5" s="12">
        <f>COUNTIF(#REF!,"Pass")</f>
        <v>0</v>
      </c>
    </row>
    <row r="6" ht="14.25" customHeight="1">
      <c r="A6" s="11" t="s">
        <v>48</v>
      </c>
      <c r="B6" s="12">
        <f>COUNTIF(#REF!,"Fail")</f>
        <v>0</v>
      </c>
    </row>
    <row r="7" ht="14.25" customHeight="1">
      <c r="A7" s="11" t="s">
        <v>49</v>
      </c>
      <c r="B7" s="12">
        <f>COUNTIF(#REF!,"Blocked")</f>
        <v>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